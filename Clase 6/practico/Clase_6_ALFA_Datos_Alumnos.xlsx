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to1\Downloads\"/>
    </mc:Choice>
  </mc:AlternateContent>
  <xr:revisionPtr revIDLastSave="0" documentId="13_ncr:1_{59CBA676-B847-488F-8C0A-A4C175EFD5F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tapa 1 - Flujos" sheetId="1" r:id="rId1"/>
    <sheet name="Etapa 2 - Riesgo" sheetId="2" r:id="rId2"/>
    <sheet name="Etapa 3 - Nueva tas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10" i="1"/>
  <c r="H11" i="3"/>
  <c r="H12" i="3"/>
  <c r="H13" i="3"/>
  <c r="H14" i="3"/>
  <c r="H10" i="3"/>
  <c r="E24" i="2"/>
  <c r="E23" i="2"/>
  <c r="H11" i="1"/>
  <c r="H12" i="1"/>
  <c r="H13" i="1"/>
  <c r="H14" i="1"/>
  <c r="H10" i="1"/>
  <c r="I11" i="1"/>
  <c r="I12" i="1"/>
  <c r="I13" i="1"/>
  <c r="I14" i="1"/>
  <c r="I10" i="1"/>
  <c r="E17" i="2"/>
  <c r="E18" i="2"/>
  <c r="E19" i="2"/>
  <c r="E20" i="2"/>
  <c r="E21" i="2"/>
  <c r="E16" i="2"/>
</calcChain>
</file>

<file path=xl/sharedStrings.xml><?xml version="1.0" encoding="utf-8"?>
<sst xmlns="http://schemas.openxmlformats.org/spreadsheetml/2006/main" count="82" uniqueCount="50">
  <si>
    <t>ALFA S.A. — Comité de Inversiones | Etapa 1</t>
  </si>
  <si>
    <t>Presupuesto disponible (USD)</t>
  </si>
  <si>
    <t>Tasa de descuento inicial</t>
  </si>
  <si>
    <t>Horizonte de evaluación</t>
  </si>
  <si>
    <t>5 años</t>
  </si>
  <si>
    <t>Consigna</t>
  </si>
  <si>
    <t>Calcular VAN, TIR y ROI de las cinco iniciativas y recomendar considerando únicamente rentabilidad.</t>
  </si>
  <si>
    <t>Proyecto</t>
  </si>
  <si>
    <t>Inversión inicial</t>
  </si>
  <si>
    <t>Año 1</t>
  </si>
  <si>
    <t>Año 2</t>
  </si>
  <si>
    <t>Año 3</t>
  </si>
  <si>
    <t>Año 4</t>
  </si>
  <si>
    <t>Año 5</t>
  </si>
  <si>
    <t>VAN</t>
  </si>
  <si>
    <t>TIR</t>
  </si>
  <si>
    <t>ROI</t>
  </si>
  <si>
    <t>ERP</t>
  </si>
  <si>
    <t>Planta</t>
  </si>
  <si>
    <t>Data Center</t>
  </si>
  <si>
    <t>IA</t>
  </si>
  <si>
    <t>App</t>
  </si>
  <si>
    <t>ALFA S.A. — Información complementaria | Etapa 2</t>
  </si>
  <si>
    <t>Antecedente</t>
  </si>
  <si>
    <t>Reduce riesgos. Muy poca incertidumbre. Beneficios muy estables.</t>
  </si>
  <si>
    <t>Gran VAN, pero depende del mercado.</t>
  </si>
  <si>
    <t>Beneficio moderado. Muy robusto.</t>
  </si>
  <si>
    <t>Muy rentable. Muy riesgoso.</t>
  </si>
  <si>
    <t>Muy rápida recuperación. Puede quedar obsoleta.</t>
  </si>
  <si>
    <t>Sensibilidad</t>
  </si>
  <si>
    <t>Resultado</t>
  </si>
  <si>
    <t>Si los costos aumentan 10%, el VAN cae apenas 3%.</t>
  </si>
  <si>
    <t>Si las ventas bajan 10%, el VAN desaparece.</t>
  </si>
  <si>
    <t>Escenario</t>
  </si>
  <si>
    <t>Probabilidad</t>
  </si>
  <si>
    <t>VAN (USD)</t>
  </si>
  <si>
    <t>Valor ponderado</t>
  </si>
  <si>
    <t>Optimista</t>
  </si>
  <si>
    <t>Base</t>
  </si>
  <si>
    <t>Pesimista</t>
  </si>
  <si>
    <t>Valor esperado IA</t>
  </si>
  <si>
    <t>Valor esperado ERP</t>
  </si>
  <si>
    <t>ALFA S.A. — Nuevo escenario | Etapa 3</t>
  </si>
  <si>
    <t>Nueva tasa de descuento</t>
  </si>
  <si>
    <t>Noticia</t>
  </si>
  <si>
    <t>El Banco Central aumentó la tasa de interés del 10% al 18%.</t>
  </si>
  <si>
    <t>Recalcular el VAN de las cinco iniciativas y revisar inmediatamente la recomendación.</t>
  </si>
  <si>
    <t>VAN al 18%</t>
  </si>
  <si>
    <t>Completar las celdas amarillas con fórmulas. 
ROI = (Beneficios totales – Inversión inicial) / Inversión inicial.</t>
  </si>
  <si>
    <t>Supuesto didáctico agregado: 25% optimista, 50% base y 25% pesimista.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</si>
</sst>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;\-"/>
    <numFmt numFmtId="165" formatCode="0.0%;[Red]\(0.0%\);\-"/>
    <numFmt numFmtId="166" formatCode="0%;[Red]\(0%\);\-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0B2E6F"/>
      <name val="Carlito"/>
    </font>
    <font>
      <sz val="11"/>
      <color rgb="FF0000FF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2E6F"/>
      </patternFill>
    </fill>
    <fill>
      <patternFill patternType="solid">
        <fgColor rgb="FF175C3A"/>
      </patternFill>
    </fill>
    <fill>
      <patternFill patternType="solid">
        <fgColor rgb="FFFFF2CC"/>
      </patternFill>
    </fill>
    <fill>
      <patternFill patternType="solid">
        <fgColor rgb="FFEAF0FA"/>
      </patternFill>
    </fill>
    <fill>
      <patternFill patternType="solid">
        <fgColor rgb="FFEAF3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64" fontId="0" fillId="0" borderId="0" xfId="0" applyNumberFormat="1"/>
    <xf numFmtId="164" fontId="3" fillId="0" borderId="0" xfId="0" applyNumberFormat="1" applyFont="1"/>
    <xf numFmtId="165" fontId="3" fillId="0" borderId="0" xfId="0" applyNumberFormat="1" applyFont="1"/>
    <xf numFmtId="0" fontId="0" fillId="0" borderId="0" xfId="0" applyAlignment="1">
      <alignment wrapText="1"/>
    </xf>
    <xf numFmtId="0" fontId="4" fillId="3" borderId="0" xfId="0" applyFont="1" applyFill="1" applyAlignment="1">
      <alignment horizontal="center" wrapText="1"/>
    </xf>
    <xf numFmtId="164" fontId="0" fillId="4" borderId="0" xfId="0" applyNumberFormat="1" applyFill="1"/>
    <xf numFmtId="165" fontId="0" fillId="4" borderId="0" xfId="0" applyNumberFormat="1" applyFill="1"/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0" fillId="0" borderId="0" xfId="0" applyNumberFormat="1"/>
    <xf numFmtId="0" fontId="1" fillId="2" borderId="0" xfId="0" applyFont="1" applyFill="1"/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2" fillId="0" borderId="0" xfId="0" applyFont="1" applyAlignment="1">
      <alignment horizontal="right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selection activeCell="A10" sqref="A10:J10"/>
    </sheetView>
  </sheetViews>
  <sheetFormatPr baseColWidth="10" defaultColWidth="9" defaultRowHeight="14.25"/>
  <cols>
    <col min="1" max="1" width="28.25" customWidth="1"/>
    <col min="2" max="10" width="15" customWidth="1"/>
  </cols>
  <sheetData>
    <row r="1" spans="1:10" ht="2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15">
      <c r="A3" s="1" t="s">
        <v>1</v>
      </c>
      <c r="B3" s="3">
        <v>5000000</v>
      </c>
    </row>
    <row r="4" spans="1:10" ht="15">
      <c r="A4" s="1" t="s">
        <v>2</v>
      </c>
      <c r="B4" s="4">
        <v>0.1</v>
      </c>
    </row>
    <row r="5" spans="1:10" ht="15">
      <c r="A5" s="1" t="s">
        <v>3</v>
      </c>
      <c r="B5" t="s">
        <v>4</v>
      </c>
    </row>
    <row r="6" spans="1:10" ht="15">
      <c r="A6" s="1" t="s">
        <v>5</v>
      </c>
      <c r="B6" s="9" t="s">
        <v>6</v>
      </c>
    </row>
    <row r="9" spans="1:10" ht="1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</row>
    <row r="10" spans="1:10">
      <c r="A10" t="s">
        <v>17</v>
      </c>
      <c r="B10" s="3">
        <v>-1500000</v>
      </c>
      <c r="C10" s="3">
        <v>705000</v>
      </c>
      <c r="D10" s="3">
        <v>769000</v>
      </c>
      <c r="E10" s="3">
        <v>833000</v>
      </c>
      <c r="F10" s="3">
        <v>833000</v>
      </c>
      <c r="G10" s="3">
        <v>769000</v>
      </c>
      <c r="H10" s="7">
        <f>NPV($B$4, C10:G10)+B10</f>
        <v>1448730.2158943433</v>
      </c>
      <c r="I10" s="8">
        <f>IRR(B10:G10)</f>
        <v>0.42269787290733096</v>
      </c>
      <c r="J10" s="8">
        <f>(SUM(C10:G10)+B10)/ABS(B10)</f>
        <v>1.6060000000000001</v>
      </c>
    </row>
    <row r="11" spans="1:10">
      <c r="A11" t="s">
        <v>18</v>
      </c>
      <c r="B11" s="3">
        <v>-2800000</v>
      </c>
      <c r="C11" s="3">
        <v>800000</v>
      </c>
      <c r="D11" s="3">
        <v>900000</v>
      </c>
      <c r="E11" s="3">
        <v>1100000</v>
      </c>
      <c r="F11" s="3">
        <v>1300000</v>
      </c>
      <c r="G11" s="3">
        <v>1400000</v>
      </c>
      <c r="H11" s="7">
        <f t="shared" ref="H11:H14" si="0">NPV($B$4, C11:G11)+B11</f>
        <v>1254728.0054144328</v>
      </c>
      <c r="I11" s="8">
        <f t="shared" ref="I11:I14" si="1">IRR(B11:G11)</f>
        <v>0.24536397904698459</v>
      </c>
      <c r="J11" s="8">
        <f t="shared" ref="J11:J14" si="2">(SUM(C11:G11)+B11)/ABS(B11)</f>
        <v>0.9642857142857143</v>
      </c>
    </row>
    <row r="12" spans="1:10">
      <c r="A12" t="s">
        <v>19</v>
      </c>
      <c r="B12" s="3">
        <v>-1800000</v>
      </c>
      <c r="C12" s="3">
        <v>500000</v>
      </c>
      <c r="D12" s="3">
        <v>520000</v>
      </c>
      <c r="E12" s="3">
        <v>540000</v>
      </c>
      <c r="F12" s="3">
        <v>560000</v>
      </c>
      <c r="G12" s="3">
        <v>580000</v>
      </c>
      <c r="H12" s="7">
        <f t="shared" si="0"/>
        <v>232629.41552675818</v>
      </c>
      <c r="I12" s="8">
        <f t="shared" si="1"/>
        <v>0.14807421067607662</v>
      </c>
      <c r="J12" s="8">
        <f t="shared" si="2"/>
        <v>0.5</v>
      </c>
    </row>
    <row r="13" spans="1:10">
      <c r="A13" t="s">
        <v>20</v>
      </c>
      <c r="B13" s="3">
        <v>-1200000</v>
      </c>
      <c r="C13" s="3">
        <v>255000</v>
      </c>
      <c r="D13" s="3">
        <v>467000</v>
      </c>
      <c r="E13" s="3">
        <v>680000</v>
      </c>
      <c r="F13" s="3">
        <v>765000</v>
      </c>
      <c r="G13" s="3">
        <v>722000</v>
      </c>
      <c r="H13" s="7">
        <f t="shared" si="0"/>
        <v>899473.14825738361</v>
      </c>
      <c r="I13" s="8">
        <f t="shared" si="1"/>
        <v>0.31591072841278867</v>
      </c>
      <c r="J13" s="8">
        <f t="shared" si="2"/>
        <v>1.4075</v>
      </c>
    </row>
    <row r="14" spans="1:10">
      <c r="A14" t="s">
        <v>21</v>
      </c>
      <c r="B14" s="3">
        <v>-700000</v>
      </c>
      <c r="C14" s="3">
        <v>400000</v>
      </c>
      <c r="D14" s="3">
        <v>350000</v>
      </c>
      <c r="E14" s="3">
        <v>250000</v>
      </c>
      <c r="F14" s="3">
        <v>150000</v>
      </c>
      <c r="G14" s="3">
        <v>80000</v>
      </c>
      <c r="H14" s="7">
        <f t="shared" si="0"/>
        <v>292846.98635835829</v>
      </c>
      <c r="I14" s="8">
        <f t="shared" si="1"/>
        <v>0.30250292081135122</v>
      </c>
      <c r="J14" s="8">
        <f t="shared" si="2"/>
        <v>0.75714285714285712</v>
      </c>
    </row>
    <row r="16" spans="1:10">
      <c r="A16" s="15" t="s">
        <v>48</v>
      </c>
      <c r="B16" s="15"/>
      <c r="C16" s="15"/>
      <c r="D16" s="15"/>
      <c r="E16" s="15"/>
      <c r="F16" s="15"/>
      <c r="G16" s="15"/>
      <c r="H16" s="15"/>
      <c r="I16" s="15"/>
      <c r="J16" s="15"/>
    </row>
    <row r="17" spans="1:10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spans="1:10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25" spans="1:10">
      <c r="G25" s="18"/>
    </row>
  </sheetData>
  <mergeCells count="2">
    <mergeCell ref="A1:J1"/>
    <mergeCell ref="A16:J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>
      <selection activeCell="B18" sqref="B18"/>
    </sheetView>
  </sheetViews>
  <sheetFormatPr baseColWidth="10" defaultColWidth="9" defaultRowHeight="14.25"/>
  <cols>
    <col min="1" max="1" width="20" customWidth="1"/>
    <col min="2" max="2" width="48.25" customWidth="1"/>
    <col min="3" max="5" width="18" customWidth="1"/>
  </cols>
  <sheetData>
    <row r="1" spans="1:5" ht="20.25">
      <c r="A1" s="14" t="s">
        <v>22</v>
      </c>
      <c r="B1" s="14"/>
      <c r="C1" s="14"/>
      <c r="D1" s="14"/>
      <c r="E1" s="14"/>
    </row>
    <row r="3" spans="1:5" ht="15">
      <c r="A3" s="6" t="s">
        <v>7</v>
      </c>
      <c r="B3" s="6" t="s">
        <v>23</v>
      </c>
    </row>
    <row r="4" spans="1:5" ht="28.5">
      <c r="A4" t="s">
        <v>17</v>
      </c>
      <c r="B4" s="5" t="s">
        <v>24</v>
      </c>
    </row>
    <row r="5" spans="1:5">
      <c r="A5" t="s">
        <v>18</v>
      </c>
      <c r="B5" s="5" t="s">
        <v>25</v>
      </c>
    </row>
    <row r="6" spans="1:5">
      <c r="A6" t="s">
        <v>19</v>
      </c>
      <c r="B6" s="5" t="s">
        <v>26</v>
      </c>
    </row>
    <row r="7" spans="1:5">
      <c r="A7" t="s">
        <v>20</v>
      </c>
      <c r="B7" s="5" t="s">
        <v>27</v>
      </c>
    </row>
    <row r="8" spans="1:5">
      <c r="A8" t="s">
        <v>21</v>
      </c>
      <c r="B8" s="5" t="s">
        <v>28</v>
      </c>
    </row>
    <row r="10" spans="1:5" ht="15">
      <c r="A10" s="6" t="s">
        <v>29</v>
      </c>
      <c r="B10" s="6" t="s">
        <v>30</v>
      </c>
    </row>
    <row r="11" spans="1:5">
      <c r="A11" t="s">
        <v>17</v>
      </c>
      <c r="B11" s="5" t="s">
        <v>31</v>
      </c>
    </row>
    <row r="12" spans="1:5">
      <c r="A12" t="s">
        <v>20</v>
      </c>
      <c r="B12" s="5" t="s">
        <v>32</v>
      </c>
    </row>
    <row r="15" spans="1:5" ht="15">
      <c r="A15" s="6" t="s">
        <v>7</v>
      </c>
      <c r="B15" s="6" t="s">
        <v>33</v>
      </c>
      <c r="C15" s="6" t="s">
        <v>34</v>
      </c>
      <c r="D15" s="6" t="s">
        <v>35</v>
      </c>
      <c r="E15" s="6" t="s">
        <v>36</v>
      </c>
    </row>
    <row r="16" spans="1:5">
      <c r="A16" s="11" t="s">
        <v>20</v>
      </c>
      <c r="B16" s="9" t="s">
        <v>37</v>
      </c>
      <c r="C16" s="12">
        <v>0.25</v>
      </c>
      <c r="D16" s="3">
        <v>2800000</v>
      </c>
      <c r="E16" s="7">
        <f>+D16*C16</f>
        <v>700000</v>
      </c>
    </row>
    <row r="17" spans="1:5">
      <c r="A17" s="11" t="s">
        <v>20</v>
      </c>
      <c r="B17" s="9" t="s">
        <v>38</v>
      </c>
      <c r="C17" s="12">
        <v>0.5</v>
      </c>
      <c r="D17" s="3">
        <v>900000</v>
      </c>
      <c r="E17" s="7">
        <f t="shared" ref="E17:E21" si="0">+D17*C17</f>
        <v>450000</v>
      </c>
    </row>
    <row r="18" spans="1:5">
      <c r="A18" s="11" t="s">
        <v>20</v>
      </c>
      <c r="B18" s="9" t="s">
        <v>39</v>
      </c>
      <c r="C18" s="12">
        <v>0.25</v>
      </c>
      <c r="D18" s="3">
        <v>-600000</v>
      </c>
      <c r="E18" s="7">
        <f t="shared" si="0"/>
        <v>-150000</v>
      </c>
    </row>
    <row r="19" spans="1:5">
      <c r="A19" s="11" t="s">
        <v>17</v>
      </c>
      <c r="B19" s="9" t="s">
        <v>37</v>
      </c>
      <c r="C19" s="12">
        <v>0.25</v>
      </c>
      <c r="D19" s="3">
        <v>1600000</v>
      </c>
      <c r="E19" s="7">
        <f t="shared" si="0"/>
        <v>400000</v>
      </c>
    </row>
    <row r="20" spans="1:5">
      <c r="A20" s="11" t="s">
        <v>17</v>
      </c>
      <c r="B20" s="9" t="s">
        <v>38</v>
      </c>
      <c r="C20" s="12">
        <v>0.5</v>
      </c>
      <c r="D20" s="3">
        <v>1450000</v>
      </c>
      <c r="E20" s="7">
        <f t="shared" si="0"/>
        <v>725000</v>
      </c>
    </row>
    <row r="21" spans="1:5">
      <c r="A21" s="11" t="s">
        <v>17</v>
      </c>
      <c r="B21" s="9" t="s">
        <v>39</v>
      </c>
      <c r="C21" s="12">
        <v>0.25</v>
      </c>
      <c r="D21" s="3">
        <v>1200000</v>
      </c>
      <c r="E21" s="7">
        <f t="shared" si="0"/>
        <v>300000</v>
      </c>
    </row>
    <row r="22" spans="1:5">
      <c r="C22" s="13"/>
    </row>
    <row r="23" spans="1:5" ht="15">
      <c r="C23" s="17" t="s">
        <v>40</v>
      </c>
      <c r="D23" s="17"/>
      <c r="E23" s="7">
        <f>E16+E17+E18</f>
        <v>1000000</v>
      </c>
    </row>
    <row r="24" spans="1:5" ht="15">
      <c r="C24" s="17" t="s">
        <v>41</v>
      </c>
      <c r="D24" s="17"/>
      <c r="E24" s="7">
        <f>E19+E20+E21</f>
        <v>1425000</v>
      </c>
    </row>
    <row r="27" spans="1:5">
      <c r="A27" s="16" t="s">
        <v>49</v>
      </c>
      <c r="B27" s="16"/>
      <c r="C27" s="16"/>
      <c r="D27" s="16"/>
      <c r="E27" s="16"/>
    </row>
    <row r="28" spans="1:5">
      <c r="A28" s="16"/>
      <c r="B28" s="16"/>
      <c r="C28" s="16"/>
      <c r="D28" s="16"/>
      <c r="E28" s="16"/>
    </row>
    <row r="29" spans="1:5">
      <c r="A29" s="16"/>
      <c r="B29" s="16"/>
      <c r="C29" s="16"/>
      <c r="D29" s="16"/>
      <c r="E29" s="16"/>
    </row>
  </sheetData>
  <mergeCells count="4">
    <mergeCell ref="A1:E1"/>
    <mergeCell ref="A27:E29"/>
    <mergeCell ref="C23:D23"/>
    <mergeCell ref="C24:D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tabSelected="1" workbookViewId="0">
      <selection activeCell="A12" sqref="A12"/>
    </sheetView>
  </sheetViews>
  <sheetFormatPr baseColWidth="10" defaultColWidth="9" defaultRowHeight="14.25"/>
  <cols>
    <col min="1" max="1" width="25.75" customWidth="1"/>
    <col min="2" max="8" width="15" customWidth="1"/>
  </cols>
  <sheetData>
    <row r="1" spans="1:8" ht="20.25">
      <c r="A1" s="14" t="s">
        <v>42</v>
      </c>
      <c r="B1" s="14"/>
      <c r="C1" s="14"/>
      <c r="D1" s="14"/>
      <c r="E1" s="14"/>
      <c r="F1" s="14"/>
      <c r="G1" s="14"/>
      <c r="H1" s="14"/>
    </row>
    <row r="3" spans="1:8" ht="15">
      <c r="A3" s="1" t="s">
        <v>43</v>
      </c>
      <c r="B3" s="4">
        <v>0.18</v>
      </c>
    </row>
    <row r="4" spans="1:8" ht="15">
      <c r="A4" s="1" t="s">
        <v>44</v>
      </c>
      <c r="B4" s="10" t="s">
        <v>45</v>
      </c>
    </row>
    <row r="5" spans="1:8" ht="15">
      <c r="A5" s="1" t="s">
        <v>5</v>
      </c>
      <c r="B5" s="10" t="s">
        <v>46</v>
      </c>
    </row>
    <row r="6" spans="1:8" ht="15">
      <c r="A6" s="1" t="s">
        <v>1</v>
      </c>
      <c r="B6" s="2">
        <v>5000000</v>
      </c>
    </row>
    <row r="9" spans="1:8" ht="1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47</v>
      </c>
    </row>
    <row r="10" spans="1:8">
      <c r="A10" t="s">
        <v>17</v>
      </c>
      <c r="B10" s="3">
        <v>-1500000</v>
      </c>
      <c r="C10" s="3">
        <v>705000</v>
      </c>
      <c r="D10" s="3">
        <v>769000</v>
      </c>
      <c r="E10" s="3">
        <v>833000</v>
      </c>
      <c r="F10" s="3">
        <v>833000</v>
      </c>
      <c r="G10" s="3">
        <v>769000</v>
      </c>
      <c r="H10" s="7">
        <f>NPV($B$3, C10:G10)+B10</f>
        <v>922520.09082992468</v>
      </c>
    </row>
    <row r="11" spans="1:8">
      <c r="A11" t="s">
        <v>18</v>
      </c>
      <c r="B11" s="3">
        <v>-2800000</v>
      </c>
      <c r="C11" s="3">
        <v>800000</v>
      </c>
      <c r="D11" s="3">
        <v>900000</v>
      </c>
      <c r="E11" s="3">
        <v>1100000</v>
      </c>
      <c r="F11" s="3">
        <v>1300000</v>
      </c>
      <c r="G11" s="3">
        <v>1400000</v>
      </c>
      <c r="H11" s="7">
        <f t="shared" ref="H11:H14" si="0">NPV($B$3, C11:G11)+B11</f>
        <v>476304.4888477074</v>
      </c>
    </row>
    <row r="12" spans="1:8">
      <c r="A12" t="s">
        <v>19</v>
      </c>
      <c r="B12" s="3">
        <v>-1800000</v>
      </c>
      <c r="C12" s="3">
        <v>500000</v>
      </c>
      <c r="D12" s="3">
        <v>520000</v>
      </c>
      <c r="E12" s="3">
        <v>540000</v>
      </c>
      <c r="F12" s="3">
        <v>560000</v>
      </c>
      <c r="G12" s="3">
        <v>580000</v>
      </c>
      <c r="H12" s="7">
        <f t="shared" si="0"/>
        <v>-131789.49621909531</v>
      </c>
    </row>
    <row r="13" spans="1:8">
      <c r="A13" t="s">
        <v>20</v>
      </c>
      <c r="B13" s="3">
        <v>-1200000</v>
      </c>
      <c r="C13" s="3">
        <v>255000</v>
      </c>
      <c r="D13" s="3">
        <v>467000</v>
      </c>
      <c r="E13" s="3">
        <v>680000</v>
      </c>
      <c r="F13" s="3">
        <v>765000</v>
      </c>
      <c r="G13" s="3">
        <v>722000</v>
      </c>
      <c r="H13" s="7">
        <f t="shared" si="0"/>
        <v>475534.1606454479</v>
      </c>
    </row>
    <row r="14" spans="1:8">
      <c r="A14" t="s">
        <v>21</v>
      </c>
      <c r="B14" s="3">
        <v>-700000</v>
      </c>
      <c r="C14" s="3">
        <v>400000</v>
      </c>
      <c r="D14" s="3">
        <v>350000</v>
      </c>
      <c r="E14" s="3">
        <v>250000</v>
      </c>
      <c r="F14" s="3">
        <v>150000</v>
      </c>
      <c r="G14" s="3">
        <v>80000</v>
      </c>
      <c r="H14" s="7">
        <f t="shared" si="0"/>
        <v>154842.38800505525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Etapa 1 - Flujos</vt:lpstr>
      <vt:lpstr>Etapa 2 - Riesgo</vt:lpstr>
      <vt:lpstr>Etapa 3 - Nueva tasa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Barie</dc:creator>
  <cp:lastModifiedBy>Augusto Cesar Guerrero</cp:lastModifiedBy>
  <dcterms:created xsi:type="dcterms:W3CDTF">2026-08-28T12:17:54Z</dcterms:created>
  <dcterms:modified xsi:type="dcterms:W3CDTF">2026-08-30T05:22:10Z</dcterms:modified>
</cp:coreProperties>
</file>